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Рабочая Дмитрий\Работа\Документы кафедры\Общенаучной подготовки\МРС Устименко\2024-25\2 семестр\Философия\"/>
    </mc:Choice>
  </mc:AlternateContent>
  <bookViews>
    <workbookView xWindow="0" yWindow="225" windowWidth="18195" windowHeight="14250"/>
  </bookViews>
  <sheets>
    <sheet name="АГиЛА" sheetId="1" r:id="rId1"/>
  </sheets>
  <calcPr calcId="162913"/>
</workbook>
</file>

<file path=xl/calcChain.xml><?xml version="1.0" encoding="utf-8"?>
<calcChain xmlns="http://schemas.openxmlformats.org/spreadsheetml/2006/main">
  <c r="G21" i="1" l="1"/>
  <c r="I21" i="1" s="1"/>
  <c r="J21" i="1" s="1"/>
  <c r="G35" i="1" l="1"/>
  <c r="I35" i="1" s="1"/>
  <c r="J35" i="1" s="1"/>
  <c r="G34" i="1"/>
  <c r="I34" i="1" s="1"/>
  <c r="J34" i="1" s="1"/>
  <c r="G33" i="1"/>
  <c r="I33" i="1" s="1"/>
  <c r="J33" i="1" s="1"/>
  <c r="G32" i="1"/>
  <c r="I32" i="1" s="1"/>
  <c r="J32" i="1" s="1"/>
  <c r="G31" i="1"/>
  <c r="I31" i="1" s="1"/>
  <c r="J31" i="1" s="1"/>
  <c r="G30" i="1"/>
  <c r="I30" i="1" s="1"/>
  <c r="J30" i="1" s="1"/>
  <c r="G29" i="1"/>
  <c r="I29" i="1" s="1"/>
  <c r="J29" i="1" s="1"/>
  <c r="G28" i="1"/>
  <c r="I28" i="1" s="1"/>
  <c r="J28" i="1" s="1"/>
  <c r="G27" i="1"/>
  <c r="I27" i="1" s="1"/>
  <c r="J27" i="1" s="1"/>
  <c r="G26" i="1"/>
  <c r="I26" i="1" s="1"/>
  <c r="J26" i="1" s="1"/>
  <c r="G25" i="1"/>
  <c r="I25" i="1" s="1"/>
  <c r="J25" i="1" s="1"/>
  <c r="G24" i="1"/>
  <c r="I24" i="1" s="1"/>
  <c r="J24" i="1" s="1"/>
  <c r="G23" i="1"/>
  <c r="I23" i="1" s="1"/>
  <c r="J23" i="1" s="1"/>
  <c r="G22" i="1"/>
  <c r="I22" i="1" s="1"/>
  <c r="J22" i="1" s="1"/>
  <c r="G20" i="1"/>
  <c r="I20" i="1" s="1"/>
  <c r="J20" i="1" s="1"/>
  <c r="G19" i="1"/>
  <c r="I19" i="1" s="1"/>
  <c r="J19" i="1" s="1"/>
  <c r="G18" i="1"/>
  <c r="I18" i="1" s="1"/>
  <c r="J18" i="1" s="1"/>
  <c r="G17" i="1"/>
  <c r="I17" i="1" s="1"/>
  <c r="J17" i="1" s="1"/>
  <c r="G16" i="1"/>
  <c r="I16" i="1" s="1"/>
  <c r="J16" i="1" s="1"/>
  <c r="G15" i="1"/>
  <c r="I15" i="1" s="1"/>
  <c r="J15" i="1" s="1"/>
  <c r="G14" i="1"/>
  <c r="I14" i="1" s="1"/>
  <c r="J14" i="1" s="1"/>
  <c r="G12" i="1"/>
  <c r="I12" i="1" s="1"/>
  <c r="J12" i="1" s="1"/>
  <c r="G11" i="1"/>
  <c r="I11" i="1" s="1"/>
  <c r="J11" i="1" s="1"/>
  <c r="G13" i="1" l="1"/>
  <c r="I13" i="1" s="1"/>
  <c r="J13" i="1" s="1"/>
  <c r="G10" i="1" l="1"/>
  <c r="I10" i="1" l="1"/>
  <c r="J10" i="1" l="1"/>
</calcChain>
</file>

<file path=xl/sharedStrings.xml><?xml version="1.0" encoding="utf-8"?>
<sst xmlns="http://schemas.openxmlformats.org/spreadsheetml/2006/main" count="61" uniqueCount="57">
  <si>
    <t>Идеальный студент</t>
  </si>
  <si>
    <t>Фамилия, Имя, Отчество</t>
  </si>
  <si>
    <t>Теория</t>
  </si>
  <si>
    <t>Практика</t>
  </si>
  <si>
    <t>Модуль 1</t>
  </si>
  <si>
    <t>Модуль 2</t>
  </si>
  <si>
    <t>Итог по МРС</t>
  </si>
  <si>
    <t xml:space="preserve">ПРАВИЛА: </t>
  </si>
  <si>
    <t>3. После выставления оценок в МРС в течение рейтинговой недели дальнейшее их изменение не допускается;</t>
  </si>
  <si>
    <t>4. К экзамену допускаются только студенты, сдавшие все текущие отчетности по ЛР и ПЗ;</t>
  </si>
  <si>
    <t>Оценка</t>
  </si>
  <si>
    <t>Итоговый балл</t>
  </si>
  <si>
    <t>1. Столбцы 1-5 и 7 заполняются преподавателем, а значения в столбцах 6, 8, 9 формируются автоматически</t>
  </si>
  <si>
    <t>2. В столбце 7 преподаватель выставляет баллы (от 0 до 100), полученные студентом на экзамене;</t>
  </si>
  <si>
    <t xml:space="preserve">5. В случае получения по итогам семестра количества баллов в МРС недостаточного для зачета(экзамена), студент обязан сдавать зачет(экзамен); </t>
  </si>
  <si>
    <t>6. Максимальный итоговый балл не может превышать "100";</t>
  </si>
  <si>
    <t>7. Максимальное количество баллов каждого модуля - 50 баллов. Прераспределение баллов в модуле между теорией и практикой определяется преподавателем самостоятельно;</t>
  </si>
  <si>
    <t>8. Граничное минимальное количество баллов в одном модуле, при котором будет формироваться итоговый балл МРС должно быть не менее 20</t>
  </si>
  <si>
    <t>9. Курсовые работы и проекты оцениваются как отдельные дисциплины;</t>
  </si>
  <si>
    <t>10. Не допускается использовать дробное количество баллов;</t>
  </si>
  <si>
    <t>11. Ноль баллов за экзамен выставляется в случае неявки студента на него.</t>
  </si>
  <si>
    <t>Лабораторные работы - 0</t>
  </si>
  <si>
    <t>Баллы за
экзамен</t>
  </si>
  <si>
    <t>Асадов А.В.</t>
  </si>
  <si>
    <t>Борисенко Т.И.</t>
  </si>
  <si>
    <t>Бородий В.М.</t>
  </si>
  <si>
    <t>Бутузова А.Н.</t>
  </si>
  <si>
    <t>Дубина Д.А.</t>
  </si>
  <si>
    <t>Егоренко А.В.</t>
  </si>
  <si>
    <t>Ерославцев В.С.</t>
  </si>
  <si>
    <t>Исчанов В.А.</t>
  </si>
  <si>
    <t>Котило Д.С.</t>
  </si>
  <si>
    <t>Кравцов Г.Ю.</t>
  </si>
  <si>
    <t>Кучеровский Р.В.</t>
  </si>
  <si>
    <t>Лихарев А.А.</t>
  </si>
  <si>
    <t>Мордасов М.А.</t>
  </si>
  <si>
    <t>Огаркова Д.Е.</t>
  </si>
  <si>
    <t>Орехов А.Д.</t>
  </si>
  <si>
    <t>Патрушев В.Д.</t>
  </si>
  <si>
    <t>Поколодная Е.В.</t>
  </si>
  <si>
    <t>Пузырькова А.С.</t>
  </si>
  <si>
    <t>Савченко В.В.</t>
  </si>
  <si>
    <t>Сазонова К.В.</t>
  </si>
  <si>
    <t>Усков О.А.</t>
  </si>
  <si>
    <t>Усова П.В.</t>
  </si>
  <si>
    <t>Фетисов А.В.</t>
  </si>
  <si>
    <t>Хохлачев М.Д.</t>
  </si>
  <si>
    <t>Цымбал Д.А.</t>
  </si>
  <si>
    <t>Теория - 30 баллов</t>
  </si>
  <si>
    <t>Практика - 20 баллов</t>
  </si>
  <si>
    <t>1-й модуль - 5 лекций, 10 ПЗ</t>
  </si>
  <si>
    <t>2-й модуль - 4 лекции, 10 ПЗ</t>
  </si>
  <si>
    <t>Дисциплина: Философия</t>
  </si>
  <si>
    <r>
      <t xml:space="preserve">Направление:  </t>
    </r>
    <r>
      <rPr>
        <b/>
        <sz val="11"/>
        <color theme="1"/>
        <rFont val="Calibri"/>
        <family val="2"/>
        <charset val="204"/>
        <scheme val="minor"/>
      </rPr>
      <t>09.03.01</t>
    </r>
    <r>
      <rPr>
        <sz val="11"/>
        <color theme="1"/>
        <rFont val="Calibri"/>
        <family val="2"/>
        <charset val="204"/>
        <scheme val="minor"/>
      </rPr>
      <t xml:space="preserve">       Группа:  </t>
    </r>
    <r>
      <rPr>
        <b/>
        <sz val="11"/>
        <color theme="1"/>
        <rFont val="Calibri"/>
        <family val="2"/>
        <charset val="204"/>
        <scheme val="minor"/>
      </rPr>
      <t>ДМО-11</t>
    </r>
    <r>
      <rPr>
        <sz val="11"/>
        <color theme="1"/>
        <rFont val="Calibri"/>
        <family val="2"/>
        <charset val="204"/>
        <scheme val="minor"/>
      </rPr>
      <t xml:space="preserve">       Преподаватель:  проф. Устименко Д.Л.</t>
    </r>
  </si>
  <si>
    <t>Лекции - 18</t>
  </si>
  <si>
    <t>Семинар занятий - 36</t>
  </si>
  <si>
    <t>Литвинский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</si>
</sst>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2" borderId="3" xfId="0" applyFont="1" applyFill="1" applyBorder="1" applyAlignment="1">
      <alignment horizontal="center"/>
    </xf>
    <xf numFmtId="1" fontId="2" fillId="0" borderId="2" xfId="0" applyNumberFormat="1" applyFont="1" applyBorder="1"/>
    <xf numFmtId="0" fontId="2" fillId="0" borderId="3" xfId="0" applyFont="1" applyBorder="1"/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0" fillId="0" borderId="0" xfId="0" applyBorder="1"/>
    <xf numFmtId="0" fontId="2" fillId="2" borderId="12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0" borderId="14" xfId="0" applyFont="1" applyBorder="1"/>
    <xf numFmtId="1" fontId="2" fillId="0" borderId="18" xfId="0" applyNumberFormat="1" applyFont="1" applyBorder="1"/>
    <xf numFmtId="0" fontId="2" fillId="3" borderId="10" xfId="0" applyFont="1" applyFill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1" fontId="2" fillId="0" borderId="23" xfId="0" applyNumberFormat="1" applyFont="1" applyBorder="1"/>
    <xf numFmtId="1" fontId="2" fillId="0" borderId="24" xfId="0" applyNumberFormat="1" applyFont="1" applyBorder="1"/>
    <xf numFmtId="1" fontId="2" fillId="0" borderId="25" xfId="0" applyNumberFormat="1" applyFont="1" applyBorder="1"/>
    <xf numFmtId="0" fontId="2" fillId="0" borderId="25" xfId="0" applyFont="1" applyBorder="1"/>
    <xf numFmtId="0" fontId="2" fillId="0" borderId="23" xfId="0" applyFont="1" applyBorder="1"/>
    <xf numFmtId="0" fontId="2" fillId="0" borderId="26" xfId="0" applyFont="1" applyBorder="1"/>
    <xf numFmtId="0" fontId="2" fillId="0" borderId="18" xfId="0" applyFont="1" applyBorder="1"/>
    <xf numFmtId="1" fontId="2" fillId="0" borderId="26" xfId="0" applyNumberFormat="1" applyFont="1" applyBorder="1"/>
    <xf numFmtId="0" fontId="2" fillId="3" borderId="27" xfId="0" applyFont="1" applyFill="1" applyBorder="1"/>
    <xf numFmtId="1" fontId="2" fillId="0" borderId="28" xfId="0" applyNumberFormat="1" applyFont="1" applyBorder="1"/>
    <xf numFmtId="0" fontId="2" fillId="2" borderId="4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5" fillId="0" borderId="1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2" fillId="3" borderId="19" xfId="0" applyFont="1" applyFill="1" applyBorder="1"/>
    <xf numFmtId="1" fontId="2" fillId="0" borderId="29" xfId="0" applyNumberFormat="1" applyFont="1" applyBorder="1"/>
    <xf numFmtId="0" fontId="4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0" fillId="2" borderId="0" xfId="0" applyFill="1"/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0" fontId="2" fillId="0" borderId="0" xfId="0" applyFont="1" applyBorder="1"/>
    <xf numFmtId="1" fontId="2" fillId="0" borderId="0" xfId="0" applyNumberFormat="1" applyFont="1" applyBorder="1"/>
    <xf numFmtId="0" fontId="3" fillId="0" borderId="4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</cellXfs>
  <cellStyles count="1">
    <cellStyle name="Обычный" xfId="0" builtinId="0"/>
  </cellStyles>
  <dxfs count="8"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ont>
        <strike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0"/>
  <sheetViews>
    <sheetView tabSelected="1" topLeftCell="A7" zoomScale="90" zoomScaleNormal="90" workbookViewId="0">
      <selection activeCell="F33" sqref="F33"/>
    </sheetView>
  </sheetViews>
  <sheetFormatPr defaultRowHeight="15" x14ac:dyDescent="0.25"/>
  <cols>
    <col min="1" max="1" width="4.7109375" customWidth="1"/>
    <col min="2" max="2" width="26.7109375" customWidth="1"/>
    <col min="3" max="6" width="10.7109375" customWidth="1"/>
    <col min="7" max="10" width="14.7109375" customWidth="1"/>
  </cols>
  <sheetData>
    <row r="1" spans="1:10" s="38" customFormat="1" ht="15" customHeight="1" x14ac:dyDescent="0.25">
      <c r="C1" s="44" t="s">
        <v>52</v>
      </c>
      <c r="D1" s="44"/>
      <c r="E1" s="44"/>
      <c r="F1" s="44"/>
      <c r="G1" s="44"/>
    </row>
    <row r="2" spans="1:10" s="38" customFormat="1" ht="15" customHeight="1" x14ac:dyDescent="0.25">
      <c r="A2" s="51" t="s">
        <v>53</v>
      </c>
      <c r="B2" s="51"/>
      <c r="C2" s="51"/>
      <c r="D2" s="51"/>
      <c r="E2" s="51"/>
      <c r="F2" s="51"/>
      <c r="G2" s="51"/>
      <c r="H2" s="51"/>
      <c r="I2" s="51"/>
      <c r="J2" s="51"/>
    </row>
    <row r="3" spans="1:10" s="38" customFormat="1" ht="15" customHeight="1" x14ac:dyDescent="0.25">
      <c r="B3" s="38" t="s">
        <v>54</v>
      </c>
      <c r="E3" s="52" t="s">
        <v>50</v>
      </c>
      <c r="F3" s="52"/>
      <c r="G3" s="52"/>
      <c r="H3" s="52" t="s">
        <v>51</v>
      </c>
      <c r="I3" s="52"/>
    </row>
    <row r="4" spans="1:10" s="38" customFormat="1" ht="15" customHeight="1" x14ac:dyDescent="0.25">
      <c r="B4" s="38" t="s">
        <v>55</v>
      </c>
      <c r="E4" s="38" t="s">
        <v>48</v>
      </c>
      <c r="H4" s="38" t="s">
        <v>48</v>
      </c>
    </row>
    <row r="5" spans="1:10" s="38" customFormat="1" ht="15" customHeight="1" x14ac:dyDescent="0.25">
      <c r="B5" s="38" t="s">
        <v>21</v>
      </c>
      <c r="E5" s="38" t="s">
        <v>49</v>
      </c>
      <c r="H5" s="38" t="s">
        <v>49</v>
      </c>
    </row>
    <row r="6" spans="1:10" ht="15" customHeight="1" x14ac:dyDescent="0.25"/>
    <row r="7" spans="1:10" ht="16.5" thickBot="1" x14ac:dyDescent="0.3">
      <c r="B7" s="3"/>
      <c r="C7" s="43" t="s">
        <v>4</v>
      </c>
      <c r="D7" s="43"/>
      <c r="E7" s="43" t="s">
        <v>5</v>
      </c>
      <c r="F7" s="43"/>
      <c r="G7" s="3"/>
      <c r="H7" s="3"/>
      <c r="I7" s="3"/>
      <c r="J7" s="10"/>
    </row>
    <row r="8" spans="1:10" ht="31.5" x14ac:dyDescent="0.25">
      <c r="A8" s="49" t="s">
        <v>1</v>
      </c>
      <c r="B8" s="50"/>
      <c r="C8" s="8" t="s">
        <v>2</v>
      </c>
      <c r="D8" s="8" t="s">
        <v>3</v>
      </c>
      <c r="E8" s="8" t="s">
        <v>2</v>
      </c>
      <c r="F8" s="8" t="s">
        <v>3</v>
      </c>
      <c r="G8" s="8" t="s">
        <v>6</v>
      </c>
      <c r="H8" s="9" t="s">
        <v>22</v>
      </c>
      <c r="I8" s="9" t="s">
        <v>11</v>
      </c>
      <c r="J8" s="11" t="s">
        <v>10</v>
      </c>
    </row>
    <row r="9" spans="1:10" ht="16.5" thickBot="1" x14ac:dyDescent="0.3">
      <c r="A9" s="47">
        <v>1</v>
      </c>
      <c r="B9" s="48"/>
      <c r="C9" s="5">
        <v>2</v>
      </c>
      <c r="D9" s="5">
        <v>3</v>
      </c>
      <c r="E9" s="5">
        <v>4</v>
      </c>
      <c r="F9" s="5">
        <v>5</v>
      </c>
      <c r="G9" s="29">
        <v>6</v>
      </c>
      <c r="H9" s="5">
        <v>7</v>
      </c>
      <c r="I9" s="5">
        <v>8</v>
      </c>
      <c r="J9" s="12">
        <v>9</v>
      </c>
    </row>
    <row r="10" spans="1:10" ht="16.5" thickBot="1" x14ac:dyDescent="0.3">
      <c r="A10" s="45" t="s">
        <v>0</v>
      </c>
      <c r="B10" s="46"/>
      <c r="C10" s="34">
        <v>30</v>
      </c>
      <c r="D10" s="15">
        <v>20</v>
      </c>
      <c r="E10" s="15">
        <v>30</v>
      </c>
      <c r="F10" s="27">
        <v>20</v>
      </c>
      <c r="G10" s="19">
        <f t="shared" ref="G10" si="0">IF(C10+D10&lt;20,0,IF(E10+F10&lt;20,0,(ROUNDUP(SUM(C10:F10),0))))</f>
        <v>100</v>
      </c>
      <c r="H10" s="28">
        <v>100</v>
      </c>
      <c r="I10" s="19">
        <f t="shared" ref="I10:I12" si="1">IF(H10=0,0,IF(G10&gt;H10,G10,H10))</f>
        <v>100</v>
      </c>
      <c r="J10" s="23">
        <f>IF(I10&gt;80,5,IF(AND(60&lt;I10,I10&lt;81),4,IF(AND(40&lt;I10,I10&lt;61),3,IF(AND(I10&lt;41,I10&gt;0),2,IF(I10=0,"Неявка")))))</f>
        <v>5</v>
      </c>
    </row>
    <row r="11" spans="1:10" ht="15.75" customHeight="1" x14ac:dyDescent="0.25">
      <c r="A11" s="30">
        <v>1</v>
      </c>
      <c r="B11" s="31" t="s">
        <v>23</v>
      </c>
      <c r="C11" s="13">
        <v>20</v>
      </c>
      <c r="D11" s="13">
        <v>12</v>
      </c>
      <c r="E11" s="13">
        <v>21</v>
      </c>
      <c r="F11" s="16">
        <v>13</v>
      </c>
      <c r="G11" s="35">
        <f t="shared" ref="G11:G12" si="2">IF(C11+D11&lt;20,0,IF(E11+F11&lt;20,0,(ROUNDUP(SUM(C11:F11),0))))</f>
        <v>66</v>
      </c>
      <c r="H11" s="21">
        <v>0</v>
      </c>
      <c r="I11" s="21">
        <f t="shared" si="1"/>
        <v>0</v>
      </c>
      <c r="J11" s="22" t="str">
        <f t="shared" ref="J11:J12" si="3">IF(I11&gt;80,5,IF(AND(60&lt;I11,I11&lt;81),4,IF(AND(40&lt;I11,I11&lt;61),3,IF(AND(I11&lt;41,I11&gt;0),2,IF(I11=0,"Неявка")))))</f>
        <v>Неявка</v>
      </c>
    </row>
    <row r="12" spans="1:10" ht="15.75" customHeight="1" x14ac:dyDescent="0.25">
      <c r="A12" s="32">
        <v>2</v>
      </c>
      <c r="B12" s="33" t="s">
        <v>24</v>
      </c>
      <c r="C12" s="4">
        <v>19</v>
      </c>
      <c r="D12" s="4">
        <v>15</v>
      </c>
      <c r="E12" s="4">
        <v>19</v>
      </c>
      <c r="F12" s="17">
        <v>16</v>
      </c>
      <c r="G12" s="20">
        <f t="shared" si="2"/>
        <v>69</v>
      </c>
      <c r="H12" s="26">
        <v>0</v>
      </c>
      <c r="I12" s="26">
        <f t="shared" si="1"/>
        <v>0</v>
      </c>
      <c r="J12" s="24" t="str">
        <f t="shared" si="3"/>
        <v>Неявка</v>
      </c>
    </row>
    <row r="13" spans="1:10" ht="15.75" customHeight="1" x14ac:dyDescent="0.25">
      <c r="A13" s="32">
        <v>3</v>
      </c>
      <c r="B13" s="33" t="s">
        <v>25</v>
      </c>
      <c r="C13" s="4">
        <v>21</v>
      </c>
      <c r="D13" s="4">
        <v>15</v>
      </c>
      <c r="E13" s="4">
        <v>22</v>
      </c>
      <c r="F13" s="17">
        <v>13</v>
      </c>
      <c r="G13" s="20">
        <f t="shared" ref="G13" si="4">IF(C13+D13&lt;20,0,IF(E13+F13&lt;20,0,(ROUNDUP(SUM(C13:F13),0))))</f>
        <v>71</v>
      </c>
      <c r="H13" s="26">
        <v>0</v>
      </c>
      <c r="I13" s="26">
        <f t="shared" ref="I13" si="5">IF(H13=0,0,IF(G13&gt;H13,G13,H13))</f>
        <v>0</v>
      </c>
      <c r="J13" s="24" t="str">
        <f t="shared" ref="J13" si="6">IF(I13&gt;80,5,IF(AND(60&lt;I13,I13&lt;81),4,IF(AND(40&lt;I13,I13&lt;61),3,IF(AND(I13&lt;41,I13&gt;0),2,IF(I13=0,"Неявка")))))</f>
        <v>Неявка</v>
      </c>
    </row>
    <row r="14" spans="1:10" ht="15.75" customHeight="1" x14ac:dyDescent="0.25">
      <c r="A14" s="32">
        <v>4</v>
      </c>
      <c r="B14" s="33" t="s">
        <v>26</v>
      </c>
      <c r="C14" s="4">
        <v>22</v>
      </c>
      <c r="D14" s="4">
        <v>16</v>
      </c>
      <c r="E14" s="4">
        <v>0</v>
      </c>
      <c r="F14" s="17">
        <v>0</v>
      </c>
      <c r="G14" s="20">
        <f t="shared" ref="G14:G35" si="7">IF(C14+D14&lt;20,0,IF(E14+F14&lt;20,0,(ROUNDUP(SUM(C14:F14),0))))</f>
        <v>0</v>
      </c>
      <c r="H14" s="26">
        <v>0</v>
      </c>
      <c r="I14" s="26">
        <f t="shared" ref="I14:I35" si="8">IF(H14=0,0,IF(G14&gt;H14,G14,H14))</f>
        <v>0</v>
      </c>
      <c r="J14" s="24" t="str">
        <f t="shared" ref="J14:J35" si="9">IF(I14&gt;80,5,IF(AND(60&lt;I14,I14&lt;81),4,IF(AND(40&lt;I14,I14&lt;61),3,IF(AND(I14&lt;41,I14&gt;0),2,IF(I14=0,"Неявка")))))</f>
        <v>Неявка</v>
      </c>
    </row>
    <row r="15" spans="1:10" ht="15.75" customHeight="1" x14ac:dyDescent="0.25">
      <c r="A15" s="32">
        <v>5</v>
      </c>
      <c r="B15" s="33" t="s">
        <v>27</v>
      </c>
      <c r="C15" s="4">
        <v>0</v>
      </c>
      <c r="D15" s="4">
        <v>0</v>
      </c>
      <c r="E15" s="4">
        <v>0</v>
      </c>
      <c r="F15" s="17">
        <v>0</v>
      </c>
      <c r="G15" s="20">
        <f t="shared" si="7"/>
        <v>0</v>
      </c>
      <c r="H15" s="26">
        <v>0</v>
      </c>
      <c r="I15" s="26">
        <f t="shared" si="8"/>
        <v>0</v>
      </c>
      <c r="J15" s="24" t="str">
        <f t="shared" si="9"/>
        <v>Неявка</v>
      </c>
    </row>
    <row r="16" spans="1:10" ht="15.75" customHeight="1" x14ac:dyDescent="0.25">
      <c r="A16" s="32">
        <v>6</v>
      </c>
      <c r="B16" s="33" t="s">
        <v>28</v>
      </c>
      <c r="C16" s="4">
        <v>21</v>
      </c>
      <c r="D16" s="4">
        <v>14</v>
      </c>
      <c r="E16" s="4">
        <v>18</v>
      </c>
      <c r="F16" s="17">
        <v>11</v>
      </c>
      <c r="G16" s="20">
        <f t="shared" si="7"/>
        <v>64</v>
      </c>
      <c r="H16" s="26">
        <v>0</v>
      </c>
      <c r="I16" s="26">
        <f t="shared" si="8"/>
        <v>0</v>
      </c>
      <c r="J16" s="24" t="str">
        <f t="shared" si="9"/>
        <v>Неявка</v>
      </c>
    </row>
    <row r="17" spans="1:10" ht="15.75" customHeight="1" x14ac:dyDescent="0.25">
      <c r="A17" s="32">
        <v>7</v>
      </c>
      <c r="B17" s="33" t="s">
        <v>29</v>
      </c>
      <c r="C17" s="4">
        <v>0</v>
      </c>
      <c r="D17" s="4">
        <v>0</v>
      </c>
      <c r="E17" s="4">
        <v>17</v>
      </c>
      <c r="F17" s="17">
        <v>0</v>
      </c>
      <c r="G17" s="20">
        <f t="shared" si="7"/>
        <v>0</v>
      </c>
      <c r="H17" s="26">
        <v>0</v>
      </c>
      <c r="I17" s="26">
        <f t="shared" si="8"/>
        <v>0</v>
      </c>
      <c r="J17" s="24" t="str">
        <f t="shared" si="9"/>
        <v>Неявка</v>
      </c>
    </row>
    <row r="18" spans="1:10" ht="15.75" customHeight="1" x14ac:dyDescent="0.25">
      <c r="A18" s="32">
        <v>8</v>
      </c>
      <c r="B18" s="33" t="s">
        <v>30</v>
      </c>
      <c r="C18" s="4">
        <v>21</v>
      </c>
      <c r="D18" s="4">
        <v>16</v>
      </c>
      <c r="E18" s="4">
        <v>0</v>
      </c>
      <c r="F18" s="17">
        <v>10</v>
      </c>
      <c r="G18" s="20">
        <f t="shared" si="7"/>
        <v>0</v>
      </c>
      <c r="H18" s="26">
        <v>0</v>
      </c>
      <c r="I18" s="26">
        <f t="shared" si="8"/>
        <v>0</v>
      </c>
      <c r="J18" s="24" t="str">
        <f t="shared" si="9"/>
        <v>Неявка</v>
      </c>
    </row>
    <row r="19" spans="1:10" ht="15.75" customHeight="1" x14ac:dyDescent="0.25">
      <c r="A19" s="32">
        <v>9</v>
      </c>
      <c r="B19" s="33" t="s">
        <v>31</v>
      </c>
      <c r="C19" s="4">
        <v>20</v>
      </c>
      <c r="D19" s="4">
        <v>15</v>
      </c>
      <c r="E19" s="4">
        <v>23</v>
      </c>
      <c r="F19" s="17">
        <v>12</v>
      </c>
      <c r="G19" s="20">
        <f t="shared" si="7"/>
        <v>70</v>
      </c>
      <c r="H19" s="26">
        <v>0</v>
      </c>
      <c r="I19" s="26">
        <f t="shared" si="8"/>
        <v>0</v>
      </c>
      <c r="J19" s="24" t="str">
        <f t="shared" si="9"/>
        <v>Неявка</v>
      </c>
    </row>
    <row r="20" spans="1:10" ht="15.75" customHeight="1" x14ac:dyDescent="0.25">
      <c r="A20" s="32">
        <v>10</v>
      </c>
      <c r="B20" s="33" t="s">
        <v>32</v>
      </c>
      <c r="C20" s="4">
        <v>20</v>
      </c>
      <c r="D20" s="4">
        <v>14</v>
      </c>
      <c r="E20" s="4">
        <v>23</v>
      </c>
      <c r="F20" s="17">
        <v>10</v>
      </c>
      <c r="G20" s="20">
        <f t="shared" si="7"/>
        <v>67</v>
      </c>
      <c r="H20" s="26">
        <v>0</v>
      </c>
      <c r="I20" s="26">
        <f t="shared" si="8"/>
        <v>0</v>
      </c>
      <c r="J20" s="24" t="str">
        <f t="shared" si="9"/>
        <v>Неявка</v>
      </c>
    </row>
    <row r="21" spans="1:10" ht="15.75" customHeight="1" x14ac:dyDescent="0.25">
      <c r="A21" s="32">
        <v>11</v>
      </c>
      <c r="B21" s="33" t="s">
        <v>33</v>
      </c>
      <c r="C21" s="4">
        <v>23</v>
      </c>
      <c r="D21" s="4">
        <v>14</v>
      </c>
      <c r="E21" s="4">
        <v>27</v>
      </c>
      <c r="F21" s="17">
        <v>17</v>
      </c>
      <c r="G21" s="20">
        <f t="shared" si="7"/>
        <v>81</v>
      </c>
      <c r="H21" s="26">
        <v>0</v>
      </c>
      <c r="I21" s="26">
        <f t="shared" si="8"/>
        <v>0</v>
      </c>
      <c r="J21" s="24" t="str">
        <f t="shared" si="9"/>
        <v>Неявка</v>
      </c>
    </row>
    <row r="22" spans="1:10" ht="15.75" customHeight="1" x14ac:dyDescent="0.25">
      <c r="A22" s="32">
        <v>12</v>
      </c>
      <c r="B22" s="33" t="s">
        <v>34</v>
      </c>
      <c r="C22" s="4">
        <v>20</v>
      </c>
      <c r="D22" s="4">
        <v>15</v>
      </c>
      <c r="E22" s="4">
        <v>16</v>
      </c>
      <c r="F22" s="17">
        <v>11</v>
      </c>
      <c r="G22" s="20">
        <f t="shared" si="7"/>
        <v>62</v>
      </c>
      <c r="H22" s="26">
        <v>0</v>
      </c>
      <c r="I22" s="26">
        <f t="shared" si="8"/>
        <v>0</v>
      </c>
      <c r="J22" s="24" t="str">
        <f t="shared" si="9"/>
        <v>Неявка</v>
      </c>
    </row>
    <row r="23" spans="1:10" ht="15.75" customHeight="1" x14ac:dyDescent="0.25">
      <c r="A23" s="32">
        <v>13</v>
      </c>
      <c r="B23" s="33" t="s">
        <v>35</v>
      </c>
      <c r="C23" s="4">
        <v>19</v>
      </c>
      <c r="D23" s="4">
        <v>18</v>
      </c>
      <c r="E23" s="4">
        <v>18</v>
      </c>
      <c r="F23" s="17">
        <v>11</v>
      </c>
      <c r="G23" s="20">
        <f t="shared" si="7"/>
        <v>66</v>
      </c>
      <c r="H23" s="26">
        <v>0</v>
      </c>
      <c r="I23" s="26">
        <f t="shared" si="8"/>
        <v>0</v>
      </c>
      <c r="J23" s="24" t="str">
        <f t="shared" si="9"/>
        <v>Неявка</v>
      </c>
    </row>
    <row r="24" spans="1:10" ht="15.75" customHeight="1" x14ac:dyDescent="0.25">
      <c r="A24" s="32">
        <v>14</v>
      </c>
      <c r="B24" s="33" t="s">
        <v>36</v>
      </c>
      <c r="C24" s="4">
        <v>0</v>
      </c>
      <c r="D24" s="4">
        <v>0</v>
      </c>
      <c r="E24" s="4">
        <v>0</v>
      </c>
      <c r="F24" s="17">
        <v>0</v>
      </c>
      <c r="G24" s="20">
        <f t="shared" si="7"/>
        <v>0</v>
      </c>
      <c r="H24" s="26">
        <v>0</v>
      </c>
      <c r="I24" s="26">
        <f t="shared" si="8"/>
        <v>0</v>
      </c>
      <c r="J24" s="24" t="str">
        <f t="shared" si="9"/>
        <v>Неявка</v>
      </c>
    </row>
    <row r="25" spans="1:10" ht="15.75" customHeight="1" x14ac:dyDescent="0.25">
      <c r="A25" s="32">
        <v>15</v>
      </c>
      <c r="B25" s="33" t="s">
        <v>37</v>
      </c>
      <c r="C25" s="4">
        <v>0</v>
      </c>
      <c r="D25" s="4">
        <v>0</v>
      </c>
      <c r="E25" s="4">
        <v>17</v>
      </c>
      <c r="F25" s="17">
        <v>14</v>
      </c>
      <c r="G25" s="20">
        <f t="shared" si="7"/>
        <v>0</v>
      </c>
      <c r="H25" s="26">
        <v>0</v>
      </c>
      <c r="I25" s="26">
        <f t="shared" si="8"/>
        <v>0</v>
      </c>
      <c r="J25" s="24" t="str">
        <f t="shared" si="9"/>
        <v>Неявка</v>
      </c>
    </row>
    <row r="26" spans="1:10" ht="15.75" customHeight="1" x14ac:dyDescent="0.25">
      <c r="A26" s="32">
        <v>16</v>
      </c>
      <c r="B26" s="33" t="s">
        <v>38</v>
      </c>
      <c r="C26" s="4">
        <v>23</v>
      </c>
      <c r="D26" s="4">
        <v>17</v>
      </c>
      <c r="E26" s="4">
        <v>18</v>
      </c>
      <c r="F26" s="17">
        <v>12</v>
      </c>
      <c r="G26" s="20">
        <f t="shared" si="7"/>
        <v>70</v>
      </c>
      <c r="H26" s="26">
        <v>0</v>
      </c>
      <c r="I26" s="26">
        <f t="shared" si="8"/>
        <v>0</v>
      </c>
      <c r="J26" s="24" t="str">
        <f t="shared" si="9"/>
        <v>Неявка</v>
      </c>
    </row>
    <row r="27" spans="1:10" ht="15.75" customHeight="1" x14ac:dyDescent="0.25">
      <c r="A27" s="32">
        <v>17</v>
      </c>
      <c r="B27" s="33" t="s">
        <v>39</v>
      </c>
      <c r="C27" s="4">
        <v>21</v>
      </c>
      <c r="D27" s="4">
        <v>16</v>
      </c>
      <c r="E27" s="4">
        <v>22</v>
      </c>
      <c r="F27" s="17">
        <v>15</v>
      </c>
      <c r="G27" s="20">
        <f t="shared" si="7"/>
        <v>74</v>
      </c>
      <c r="H27" s="26">
        <v>0</v>
      </c>
      <c r="I27" s="26">
        <f t="shared" si="8"/>
        <v>0</v>
      </c>
      <c r="J27" s="24" t="str">
        <f t="shared" si="9"/>
        <v>Неявка</v>
      </c>
    </row>
    <row r="28" spans="1:10" ht="15.75" customHeight="1" x14ac:dyDescent="0.25">
      <c r="A28" s="32">
        <v>18</v>
      </c>
      <c r="B28" s="33" t="s">
        <v>40</v>
      </c>
      <c r="C28" s="4">
        <v>0</v>
      </c>
      <c r="D28" s="4">
        <v>16</v>
      </c>
      <c r="E28" s="4">
        <v>0</v>
      </c>
      <c r="F28" s="17">
        <v>0</v>
      </c>
      <c r="G28" s="20">
        <f t="shared" si="7"/>
        <v>0</v>
      </c>
      <c r="H28" s="26">
        <v>0</v>
      </c>
      <c r="I28" s="26">
        <f t="shared" si="8"/>
        <v>0</v>
      </c>
      <c r="J28" s="24" t="str">
        <f t="shared" si="9"/>
        <v>Неявка</v>
      </c>
    </row>
    <row r="29" spans="1:10" ht="15.75" customHeight="1" x14ac:dyDescent="0.25">
      <c r="A29" s="32">
        <v>19</v>
      </c>
      <c r="B29" s="33" t="s">
        <v>41</v>
      </c>
      <c r="C29" s="4">
        <v>0</v>
      </c>
      <c r="D29" s="4">
        <v>0</v>
      </c>
      <c r="E29" s="4">
        <v>0</v>
      </c>
      <c r="F29" s="17">
        <v>0</v>
      </c>
      <c r="G29" s="20">
        <f t="shared" si="7"/>
        <v>0</v>
      </c>
      <c r="H29" s="26">
        <v>0</v>
      </c>
      <c r="I29" s="26">
        <f t="shared" si="8"/>
        <v>0</v>
      </c>
      <c r="J29" s="24" t="str">
        <f t="shared" si="9"/>
        <v>Неявка</v>
      </c>
    </row>
    <row r="30" spans="1:10" ht="15.75" customHeight="1" x14ac:dyDescent="0.25">
      <c r="A30" s="32">
        <v>20</v>
      </c>
      <c r="B30" s="33" t="s">
        <v>42</v>
      </c>
      <c r="C30" s="4">
        <v>21</v>
      </c>
      <c r="D30" s="4">
        <v>11</v>
      </c>
      <c r="E30" s="4">
        <v>19</v>
      </c>
      <c r="F30" s="17">
        <v>12</v>
      </c>
      <c r="G30" s="20">
        <f t="shared" si="7"/>
        <v>63</v>
      </c>
      <c r="H30" s="26">
        <v>0</v>
      </c>
      <c r="I30" s="26">
        <f t="shared" si="8"/>
        <v>0</v>
      </c>
      <c r="J30" s="24" t="str">
        <f t="shared" si="9"/>
        <v>Неявка</v>
      </c>
    </row>
    <row r="31" spans="1:10" ht="15.75" customHeight="1" x14ac:dyDescent="0.25">
      <c r="A31" s="32">
        <v>21</v>
      </c>
      <c r="B31" s="33" t="s">
        <v>43</v>
      </c>
      <c r="C31" s="4">
        <v>20</v>
      </c>
      <c r="D31" s="4">
        <v>0</v>
      </c>
      <c r="E31" s="4">
        <v>0</v>
      </c>
      <c r="F31" s="17">
        <v>0</v>
      </c>
      <c r="G31" s="20">
        <f t="shared" si="7"/>
        <v>0</v>
      </c>
      <c r="H31" s="26">
        <v>0</v>
      </c>
      <c r="I31" s="26">
        <f t="shared" si="8"/>
        <v>0</v>
      </c>
      <c r="J31" s="24" t="str">
        <f t="shared" si="9"/>
        <v>Неявка</v>
      </c>
    </row>
    <row r="32" spans="1:10" ht="15.75" customHeight="1" x14ac:dyDescent="0.25">
      <c r="A32" s="32">
        <v>22</v>
      </c>
      <c r="B32" s="33" t="s">
        <v>44</v>
      </c>
      <c r="C32" s="4">
        <v>21</v>
      </c>
      <c r="D32" s="4">
        <v>19</v>
      </c>
      <c r="E32" s="4">
        <v>26</v>
      </c>
      <c r="F32" s="17">
        <v>15</v>
      </c>
      <c r="G32" s="20">
        <f t="shared" si="7"/>
        <v>81</v>
      </c>
      <c r="H32" s="26">
        <v>0</v>
      </c>
      <c r="I32" s="26">
        <f t="shared" si="8"/>
        <v>0</v>
      </c>
      <c r="J32" s="24" t="str">
        <f t="shared" si="9"/>
        <v>Неявка</v>
      </c>
    </row>
    <row r="33" spans="1:10" ht="15.75" customHeight="1" x14ac:dyDescent="0.25">
      <c r="A33" s="32">
        <v>23</v>
      </c>
      <c r="B33" s="33" t="s">
        <v>45</v>
      </c>
      <c r="C33" s="4">
        <v>0</v>
      </c>
      <c r="D33" s="4">
        <v>0</v>
      </c>
      <c r="E33" s="4">
        <v>19</v>
      </c>
      <c r="F33" s="17">
        <v>0</v>
      </c>
      <c r="G33" s="20">
        <f t="shared" si="7"/>
        <v>0</v>
      </c>
      <c r="H33" s="26">
        <v>0</v>
      </c>
      <c r="I33" s="26">
        <f t="shared" si="8"/>
        <v>0</v>
      </c>
      <c r="J33" s="24" t="str">
        <f t="shared" si="9"/>
        <v>Неявка</v>
      </c>
    </row>
    <row r="34" spans="1:10" ht="15.75" customHeight="1" x14ac:dyDescent="0.25">
      <c r="A34" s="32">
        <v>24</v>
      </c>
      <c r="B34" s="33" t="s">
        <v>46</v>
      </c>
      <c r="C34" s="4">
        <v>22</v>
      </c>
      <c r="D34" s="4">
        <v>16</v>
      </c>
      <c r="E34" s="4">
        <v>20</v>
      </c>
      <c r="F34" s="17">
        <v>13</v>
      </c>
      <c r="G34" s="20">
        <f t="shared" si="7"/>
        <v>71</v>
      </c>
      <c r="H34" s="26">
        <v>0</v>
      </c>
      <c r="I34" s="26">
        <f t="shared" si="8"/>
        <v>0</v>
      </c>
      <c r="J34" s="24" t="str">
        <f t="shared" si="9"/>
        <v>Неявка</v>
      </c>
    </row>
    <row r="35" spans="1:10" ht="15.75" customHeight="1" thickBot="1" x14ac:dyDescent="0.3">
      <c r="A35" s="36">
        <v>25</v>
      </c>
      <c r="B35" s="37" t="s">
        <v>47</v>
      </c>
      <c r="C35" s="7">
        <v>22</v>
      </c>
      <c r="D35" s="7">
        <v>17</v>
      </c>
      <c r="E35" s="7">
        <v>21</v>
      </c>
      <c r="F35" s="18">
        <v>13</v>
      </c>
      <c r="G35" s="6">
        <f t="shared" si="7"/>
        <v>73</v>
      </c>
      <c r="H35" s="14">
        <v>0</v>
      </c>
      <c r="I35" s="14">
        <f t="shared" si="8"/>
        <v>0</v>
      </c>
      <c r="J35" s="25" t="str">
        <f t="shared" si="9"/>
        <v>Неявка</v>
      </c>
    </row>
    <row r="36" spans="1:10" ht="15.75" customHeight="1" x14ac:dyDescent="0.25">
      <c r="A36" s="39"/>
      <c r="B36" s="40" t="s">
        <v>56</v>
      </c>
      <c r="C36" s="41">
        <v>18</v>
      </c>
      <c r="D36" s="41">
        <v>16</v>
      </c>
      <c r="E36" s="41"/>
      <c r="F36" s="41">
        <v>14</v>
      </c>
      <c r="G36" s="42"/>
      <c r="H36" s="42"/>
      <c r="I36" s="42"/>
      <c r="J36" s="41"/>
    </row>
    <row r="38" spans="1:10" x14ac:dyDescent="0.25">
      <c r="B38" s="1" t="s">
        <v>7</v>
      </c>
    </row>
    <row r="39" spans="1:10" x14ac:dyDescent="0.25">
      <c r="B39" t="s">
        <v>12</v>
      </c>
    </row>
    <row r="40" spans="1:10" x14ac:dyDescent="0.25">
      <c r="B40" t="s">
        <v>13</v>
      </c>
    </row>
    <row r="41" spans="1:10" x14ac:dyDescent="0.25">
      <c r="B41" t="s">
        <v>8</v>
      </c>
    </row>
    <row r="42" spans="1:10" x14ac:dyDescent="0.25">
      <c r="B42" t="s">
        <v>9</v>
      </c>
    </row>
    <row r="43" spans="1:10" x14ac:dyDescent="0.25">
      <c r="B43" t="s">
        <v>14</v>
      </c>
    </row>
    <row r="44" spans="1:10" x14ac:dyDescent="0.25">
      <c r="B44" t="s">
        <v>15</v>
      </c>
    </row>
    <row r="45" spans="1:10" x14ac:dyDescent="0.25">
      <c r="B45" t="s">
        <v>16</v>
      </c>
    </row>
    <row r="46" spans="1:10" x14ac:dyDescent="0.25">
      <c r="B46" t="s">
        <v>17</v>
      </c>
    </row>
    <row r="47" spans="1:10" x14ac:dyDescent="0.25">
      <c r="B47" t="s">
        <v>18</v>
      </c>
    </row>
    <row r="48" spans="1:10" x14ac:dyDescent="0.25">
      <c r="B48" t="s">
        <v>19</v>
      </c>
    </row>
    <row r="49" spans="2:6" x14ac:dyDescent="0.25">
      <c r="B49" s="1" t="s">
        <v>20</v>
      </c>
      <c r="C49" s="1"/>
      <c r="D49" s="1"/>
      <c r="E49" s="1"/>
      <c r="F49" s="1"/>
    </row>
    <row r="50" spans="2:6" x14ac:dyDescent="0.25">
      <c r="B50" s="1"/>
    </row>
    <row r="57" spans="2:6" x14ac:dyDescent="0.25">
      <c r="B57" s="2"/>
    </row>
    <row r="58" spans="2:6" ht="14.25" customHeight="1" x14ac:dyDescent="0.25">
      <c r="B58" s="2"/>
    </row>
    <row r="59" spans="2:6" ht="15.75" customHeight="1" x14ac:dyDescent="0.25"/>
    <row r="60" spans="2:6" x14ac:dyDescent="0.25">
      <c r="B60" s="2"/>
    </row>
  </sheetData>
  <mergeCells count="9">
    <mergeCell ref="C7:D7"/>
    <mergeCell ref="E7:F7"/>
    <mergeCell ref="C1:G1"/>
    <mergeCell ref="A10:B10"/>
    <mergeCell ref="A9:B9"/>
    <mergeCell ref="A8:B8"/>
    <mergeCell ref="A2:J2"/>
    <mergeCell ref="E3:G3"/>
    <mergeCell ref="H3:I3"/>
  </mergeCells>
  <conditionalFormatting sqref="G10:I36">
    <cfRule type="cellIs" dxfId="7" priority="96" operator="between">
      <formula>81</formula>
      <formula>100</formula>
    </cfRule>
  </conditionalFormatting>
  <conditionalFormatting sqref="G10:I36">
    <cfRule type="cellIs" dxfId="6" priority="93" operator="between">
      <formula>41</formula>
      <formula>60</formula>
    </cfRule>
    <cfRule type="cellIs" dxfId="5" priority="94" operator="between">
      <formula>61</formula>
      <formula>80</formula>
    </cfRule>
    <cfRule type="cellIs" dxfId="4" priority="95" operator="lessThan">
      <formula>41</formula>
    </cfRule>
  </conditionalFormatting>
  <conditionalFormatting sqref="J10:J36">
    <cfRule type="cellIs" dxfId="3" priority="17" operator="equal">
      <formula>2</formula>
    </cfRule>
    <cfRule type="cellIs" dxfId="2" priority="18" operator="equal">
      <formula>3</formula>
    </cfRule>
    <cfRule type="cellIs" dxfId="1" priority="19" operator="equal">
      <formula>4</formula>
    </cfRule>
    <cfRule type="cellIs" dxfId="0" priority="20" operator="equal">
      <formula>5</formula>
    </cfRule>
  </conditionalFormatting>
  <pageMargins left="0.25" right="0.25" top="0.75" bottom="0.75" header="0.3" footer="0.3"/>
  <pageSetup paperSize="9" scale="86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АГиЛА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admin</cp:lastModifiedBy>
  <cp:lastPrinted>2018-09-07T09:09:18Z</cp:lastPrinted>
  <dcterms:created xsi:type="dcterms:W3CDTF">2018-09-07T06:17:46Z</dcterms:created>
  <dcterms:modified xsi:type="dcterms:W3CDTF">2025-06-06T18:01:51Z</dcterms:modified>
</cp:coreProperties>
</file>