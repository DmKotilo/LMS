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флешка 1\03_КОПИЯ ФЛЭШКИ_16_ГБ\МРС\"/>
    </mc:Choice>
  </mc:AlternateContent>
  <xr:revisionPtr revIDLastSave="0" documentId="13_ncr:1_{2255F297-DB8A-4E98-B328-FCFCEBB0F051}" xr6:coauthVersionLast="47" xr6:coauthVersionMax="47" xr10:uidLastSave="{00000000-0000-0000-0000-000000000000}"/>
  <bookViews>
    <workbookView xWindow="3030" yWindow="3030" windowWidth="14400" windowHeight="10755" xr2:uid="{00000000-000D-0000-FFFF-FFFF00000000}"/>
  </bookViews>
  <sheets>
    <sheet name="ВМ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I11" i="1"/>
  <c r="J11" i="1" s="1"/>
  <c r="G12" i="1"/>
  <c r="I12" i="1"/>
  <c r="J12" i="1" s="1"/>
  <c r="G13" i="1"/>
  <c r="I13" i="1"/>
  <c r="J13" i="1" s="1"/>
  <c r="G14" i="1"/>
  <c r="I14" i="1"/>
  <c r="J14" i="1" s="1"/>
  <c r="G15" i="1"/>
  <c r="I15" i="1"/>
  <c r="J15" i="1" s="1"/>
  <c r="G16" i="1"/>
  <c r="I16" i="1"/>
  <c r="J16" i="1" s="1"/>
  <c r="G17" i="1"/>
  <c r="I17" i="1"/>
  <c r="J17" i="1" s="1"/>
  <c r="G18" i="1"/>
  <c r="I18" i="1"/>
  <c r="J18" i="1" s="1"/>
  <c r="G19" i="1"/>
  <c r="I19" i="1"/>
  <c r="J19" i="1" s="1"/>
  <c r="G20" i="1"/>
  <c r="I20" i="1"/>
  <c r="J20" i="1" s="1"/>
  <c r="G21" i="1"/>
  <c r="I21" i="1"/>
  <c r="J21" i="1" s="1"/>
  <c r="G22" i="1"/>
  <c r="I22" i="1"/>
  <c r="J22" i="1" s="1"/>
  <c r="G23" i="1"/>
  <c r="I23" i="1"/>
  <c r="J23" i="1" s="1"/>
  <c r="G24" i="1"/>
  <c r="I24" i="1"/>
  <c r="J24" i="1" s="1"/>
  <c r="G25" i="1"/>
  <c r="I25" i="1"/>
  <c r="J25" i="1" s="1"/>
  <c r="G26" i="1"/>
  <c r="I26" i="1"/>
  <c r="J26" i="1" s="1"/>
  <c r="G27" i="1"/>
  <c r="I27" i="1"/>
  <c r="J27" i="1" s="1"/>
  <c r="G28" i="1"/>
  <c r="I28" i="1"/>
  <c r="J28" i="1" s="1"/>
  <c r="G29" i="1"/>
  <c r="I29" i="1"/>
  <c r="J29" i="1" s="1"/>
  <c r="G30" i="1"/>
  <c r="I30" i="1"/>
  <c r="J30" i="1" s="1"/>
  <c r="G31" i="1"/>
  <c r="I31" i="1"/>
  <c r="J31" i="1" s="1"/>
  <c r="G32" i="1"/>
  <c r="I32" i="1"/>
  <c r="J32" i="1" s="1"/>
  <c r="G33" i="1"/>
  <c r="I33" i="1"/>
  <c r="J33" i="1" s="1"/>
  <c r="G10" i="1" l="1"/>
  <c r="I10" i="1" l="1"/>
  <c r="J10" i="1" l="1"/>
</calcChain>
</file>

<file path=xl/sharedStrings.xml><?xml version="1.0" encoding="utf-8"?>
<sst xmlns="http://schemas.openxmlformats.org/spreadsheetml/2006/main" count="59" uniqueCount="57">
  <si>
    <t>Идеальный студент</t>
  </si>
  <si>
    <t>Фамилия, Имя, Отчество</t>
  </si>
  <si>
    <t>Теория</t>
  </si>
  <si>
    <t>Практика</t>
  </si>
  <si>
    <t>Модуль 1</t>
  </si>
  <si>
    <t>Модуль 2</t>
  </si>
  <si>
    <t>Итог по МРС</t>
  </si>
  <si>
    <t xml:space="preserve">ПРАВИЛА: </t>
  </si>
  <si>
    <t>3. После выставления оценок в МРС в течение рейтинговой недели дальнейшее их изменение не допускается;</t>
  </si>
  <si>
    <t>4. К экзамену допускаются только студенты, сдавшие все текущие отчетности по ЛР и ПЗ;</t>
  </si>
  <si>
    <t>Оценка</t>
  </si>
  <si>
    <t>Итоговый балл</t>
  </si>
  <si>
    <t>1. Столбцы 1-5 и 7 заполняются преподавателем, а значения в столбцах 6, 8, 9 формируются автоматически</t>
  </si>
  <si>
    <t>2. В столбце 7 преподаватель выставляет баллы (от 0 до 100), полученные студентом на экзамене;</t>
  </si>
  <si>
    <t xml:space="preserve">5. В случае получения по итогам семестра количества баллов в МРС недостаточного для зачета(экзамена), студент обязан сдавать зачет(экзамен); </t>
  </si>
  <si>
    <t>6. Максимальный итоговый балл не может превышать "100";</t>
  </si>
  <si>
    <t>7. Максимальное количество баллов каждого модуля - 50 баллов. Прераспределение баллов в модуле между теорией и практикой определяется преподавателем самостоятельно;</t>
  </si>
  <si>
    <t>8. Граничное минимальное количество баллов в одном модуле, при котором будет формироваться итоговый балл МРС должно быть не менее 20</t>
  </si>
  <si>
    <t>9. Курсовые работы и проекты оцениваются как отдельные дисциплины;</t>
  </si>
  <si>
    <t>10. Не допускается использовать дробное количество баллов;</t>
  </si>
  <si>
    <t>11. Ноль баллов за экзамен выставляется в случае неявки студента на него.</t>
  </si>
  <si>
    <t>1-й модуль - 5 лекций, 9 ПЗ</t>
  </si>
  <si>
    <t>Практич занятий -18</t>
  </si>
  <si>
    <t>Баллы за
зачет</t>
  </si>
  <si>
    <t>Лекции - 18</t>
  </si>
  <si>
    <r>
      <t>Направление:  09</t>
    </r>
    <r>
      <rPr>
        <b/>
        <sz val="11"/>
        <color theme="1"/>
        <rFont val="Calibri"/>
        <family val="2"/>
        <charset val="204"/>
        <scheme val="minor"/>
      </rPr>
      <t>.03.01</t>
    </r>
    <r>
      <rPr>
        <sz val="11"/>
        <color theme="1"/>
        <rFont val="Calibri"/>
        <family val="2"/>
        <charset val="204"/>
        <scheme val="minor"/>
      </rPr>
      <t xml:space="preserve">      Группа:  </t>
    </r>
    <r>
      <rPr>
        <b/>
        <sz val="11"/>
        <color theme="1"/>
        <rFont val="Calibri"/>
        <family val="2"/>
        <charset val="204"/>
        <scheme val="minor"/>
      </rPr>
      <t>ДМО-21</t>
    </r>
    <r>
      <rPr>
        <sz val="11"/>
        <color theme="1"/>
        <rFont val="Calibri"/>
        <family val="2"/>
        <charset val="204"/>
        <scheme val="minor"/>
      </rPr>
      <t xml:space="preserve">       Преподаватель:  </t>
    </r>
    <r>
      <rPr>
        <b/>
        <sz val="11"/>
        <color theme="1"/>
        <rFont val="Calibri"/>
        <family val="2"/>
        <charset val="204"/>
        <scheme val="minor"/>
      </rPr>
      <t>доцент Костецкая Г.С.</t>
    </r>
  </si>
  <si>
    <t>2-й модуль - 9 лекций, 9 ПЗ</t>
  </si>
  <si>
    <t>9лекций, 9 ПЗ</t>
  </si>
  <si>
    <t>Лекции - 20 баллов</t>
  </si>
  <si>
    <t>Лекции</t>
  </si>
  <si>
    <t xml:space="preserve"> 20 баллов</t>
  </si>
  <si>
    <t>Практика  30 баллов</t>
  </si>
  <si>
    <t xml:space="preserve">Практика 30 баллов </t>
  </si>
  <si>
    <t>Асадов А.В.</t>
  </si>
  <si>
    <t>Борисенко Т.И.</t>
  </si>
  <si>
    <t>Бородий В.М.</t>
  </si>
  <si>
    <t>Бутузова А.Н.</t>
  </si>
  <si>
    <t>Егоренко А.В.</t>
  </si>
  <si>
    <t>Ерославцев В.С.</t>
  </si>
  <si>
    <t>Исчанов В.А.</t>
  </si>
  <si>
    <t>Котило Д.С.</t>
  </si>
  <si>
    <t>Кравцов Г.Ю.</t>
  </si>
  <si>
    <t>Кучеровский Р.В.</t>
  </si>
  <si>
    <t>Литвинский Н.М.</t>
  </si>
  <si>
    <t>Лихарев А.А.</t>
  </si>
  <si>
    <t xml:space="preserve">Мануйлов Л.В. </t>
  </si>
  <si>
    <t>Мордасов М.А.</t>
  </si>
  <si>
    <t>Орехов А.Д.</t>
  </si>
  <si>
    <t>Патрушев В.Д.</t>
  </si>
  <si>
    <t>Поколодная Е.В.</t>
  </si>
  <si>
    <t>Сазонова К.В.</t>
  </si>
  <si>
    <t>Усков О.А.</t>
  </si>
  <si>
    <t>Усова П.В.</t>
  </si>
  <si>
    <t>Фетисов А.В.</t>
  </si>
  <si>
    <t>Хохлачев М.Д.</t>
  </si>
  <si>
    <t>Цымбал Д.А.</t>
  </si>
  <si>
    <t xml:space="preserve">Дисциплина: Высшая математика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</si>
</sst>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1" fontId="2" fillId="0" borderId="8" xfId="0" applyNumberFormat="1" applyFont="1" applyBorder="1"/>
    <xf numFmtId="0" fontId="2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12" xfId="0" applyFont="1" applyBorder="1"/>
    <xf numFmtId="0" fontId="2" fillId="3" borderId="7" xfId="0" applyFont="1" applyFill="1" applyBorder="1"/>
    <xf numFmtId="0" fontId="2" fillId="0" borderId="16" xfId="0" applyFont="1" applyBorder="1"/>
    <xf numFmtId="0" fontId="2" fillId="0" borderId="17" xfId="0" applyFont="1" applyBorder="1"/>
    <xf numFmtId="1" fontId="2" fillId="0" borderId="18" xfId="0" applyNumberFormat="1" applyFont="1" applyBorder="1"/>
    <xf numFmtId="1" fontId="2" fillId="0" borderId="19" xfId="0" applyNumberFormat="1" applyFont="1" applyBorder="1"/>
    <xf numFmtId="1" fontId="2" fillId="0" borderId="20" xfId="0" applyNumberFormat="1" applyFont="1" applyBorder="1"/>
    <xf numFmtId="0" fontId="2" fillId="0" borderId="20" xfId="0" applyFont="1" applyBorder="1"/>
    <xf numFmtId="0" fontId="2" fillId="0" borderId="18" xfId="0" applyFont="1" applyBorder="1"/>
    <xf numFmtId="0" fontId="2" fillId="0" borderId="21" xfId="0" applyFont="1" applyBorder="1"/>
    <xf numFmtId="1" fontId="2" fillId="0" borderId="21" xfId="0" applyNumberFormat="1" applyFont="1" applyBorder="1"/>
    <xf numFmtId="0" fontId="2" fillId="3" borderId="22" xfId="0" applyFont="1" applyFill="1" applyBorder="1"/>
    <xf numFmtId="1" fontId="2" fillId="0" borderId="23" xfId="0" applyNumberFormat="1" applyFont="1" applyBorder="1"/>
    <xf numFmtId="0" fontId="2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1" fontId="2" fillId="0" borderId="19" xfId="0" applyNumberFormat="1" applyFont="1" applyBorder="1" applyAlignment="1">
      <alignment vertical="center"/>
    </xf>
    <xf numFmtId="1" fontId="2" fillId="0" borderId="21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/>
    <xf numFmtId="1" fontId="2" fillId="0" borderId="24" xfId="0" applyNumberFormat="1" applyFont="1" applyBorder="1"/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3" borderId="15" xfId="0" applyFont="1" applyFill="1" applyBorder="1"/>
    <xf numFmtId="0" fontId="5" fillId="0" borderId="8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8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7"/>
  <sheetViews>
    <sheetView tabSelected="1" topLeftCell="A13" zoomScale="90" zoomScaleNormal="90" workbookViewId="0">
      <selection activeCell="H28" sqref="H28"/>
    </sheetView>
  </sheetViews>
  <sheetFormatPr defaultRowHeight="15" x14ac:dyDescent="0.25"/>
  <cols>
    <col min="1" max="1" width="4.5703125" customWidth="1"/>
    <col min="2" max="2" width="26.42578125" customWidth="1"/>
    <col min="4" max="4" width="10.5703125" customWidth="1"/>
    <col min="6" max="6" width="10.7109375" customWidth="1"/>
    <col min="7" max="7" width="18" customWidth="1"/>
    <col min="8" max="8" width="17.28515625" customWidth="1"/>
    <col min="9" max="9" width="12.85546875" customWidth="1"/>
    <col min="10" max="10" width="11" customWidth="1"/>
  </cols>
  <sheetData>
    <row r="1" spans="1:10" x14ac:dyDescent="0.25">
      <c r="C1" s="41" t="s">
        <v>56</v>
      </c>
      <c r="D1" s="41"/>
      <c r="E1" s="41"/>
      <c r="F1" s="41"/>
      <c r="G1" s="41"/>
    </row>
    <row r="2" spans="1:10" x14ac:dyDescent="0.25">
      <c r="A2" s="48" t="s">
        <v>25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25">
      <c r="B3" t="s">
        <v>24</v>
      </c>
      <c r="E3" t="s">
        <v>21</v>
      </c>
      <c r="F3" t="s">
        <v>27</v>
      </c>
      <c r="H3" t="s">
        <v>26</v>
      </c>
    </row>
    <row r="4" spans="1:10" x14ac:dyDescent="0.25">
      <c r="B4" t="s">
        <v>22</v>
      </c>
      <c r="E4" t="s">
        <v>29</v>
      </c>
      <c r="F4" t="s">
        <v>30</v>
      </c>
      <c r="H4" t="s">
        <v>28</v>
      </c>
    </row>
    <row r="5" spans="1:10" x14ac:dyDescent="0.25">
      <c r="E5" t="s">
        <v>31</v>
      </c>
      <c r="H5" t="s">
        <v>32</v>
      </c>
    </row>
    <row r="7" spans="1:10" ht="16.5" thickBot="1" x14ac:dyDescent="0.3">
      <c r="B7" s="3"/>
      <c r="C7" s="40" t="s">
        <v>4</v>
      </c>
      <c r="D7" s="40"/>
      <c r="E7" s="40" t="s">
        <v>5</v>
      </c>
      <c r="F7" s="40"/>
      <c r="G7" s="3"/>
      <c r="H7" s="3"/>
      <c r="I7" s="3"/>
    </row>
    <row r="8" spans="1:10" ht="31.5" x14ac:dyDescent="0.25">
      <c r="A8" s="46" t="s">
        <v>1</v>
      </c>
      <c r="B8" s="47"/>
      <c r="C8" s="6" t="s">
        <v>2</v>
      </c>
      <c r="D8" s="6" t="s">
        <v>3</v>
      </c>
      <c r="E8" s="6" t="s">
        <v>2</v>
      </c>
      <c r="F8" s="6" t="s">
        <v>3</v>
      </c>
      <c r="G8" s="6" t="s">
        <v>6</v>
      </c>
      <c r="H8" s="7" t="s">
        <v>23</v>
      </c>
      <c r="I8" s="7" t="s">
        <v>11</v>
      </c>
      <c r="J8" s="9" t="s">
        <v>10</v>
      </c>
    </row>
    <row r="9" spans="1:10" ht="16.5" thickBot="1" x14ac:dyDescent="0.3">
      <c r="A9" s="44">
        <v>1</v>
      </c>
      <c r="B9" s="45"/>
      <c r="C9" s="5">
        <v>2</v>
      </c>
      <c r="D9" s="5">
        <v>3</v>
      </c>
      <c r="E9" s="5">
        <v>4</v>
      </c>
      <c r="F9" s="5">
        <v>5</v>
      </c>
      <c r="G9" s="24">
        <v>6</v>
      </c>
      <c r="H9" s="5">
        <v>7</v>
      </c>
      <c r="I9" s="5">
        <v>8</v>
      </c>
      <c r="J9" s="10">
        <v>9</v>
      </c>
    </row>
    <row r="10" spans="1:10" ht="16.5" thickBot="1" x14ac:dyDescent="0.3">
      <c r="A10" s="42" t="s">
        <v>0</v>
      </c>
      <c r="B10" s="43"/>
      <c r="C10" s="36">
        <v>20</v>
      </c>
      <c r="D10" s="12">
        <v>30</v>
      </c>
      <c r="E10" s="12">
        <v>20</v>
      </c>
      <c r="F10" s="22">
        <v>30</v>
      </c>
      <c r="G10" s="8">
        <f t="shared" ref="G10:G11" si="0">IF(C10+D10&lt;20,0,IF(E10+F10&lt;20,0,(ROUNDUP(SUM(C10:F10),0))))</f>
        <v>100</v>
      </c>
      <c r="H10" s="23">
        <v>100</v>
      </c>
      <c r="I10" s="15">
        <f t="shared" ref="I10:I11" si="1">IF(H10=0,0,IF(G10&gt;H10,G10,H10))</f>
        <v>100</v>
      </c>
      <c r="J10" s="19">
        <f>IF(I10&gt;80,5,IF(AND(60&lt;I10,I10&lt;81),4,IF(AND(40&lt;I10,I10&lt;61),3,IF(AND(I10&lt;41,I10&gt;0),2,IF(I10=0,"Неявка")))))</f>
        <v>5</v>
      </c>
    </row>
    <row r="11" spans="1:10" ht="19.5" thickBot="1" x14ac:dyDescent="0.3">
      <c r="A11" s="30">
        <v>1</v>
      </c>
      <c r="B11" s="37" t="s">
        <v>33</v>
      </c>
      <c r="C11" s="32">
        <v>8</v>
      </c>
      <c r="D11" s="11">
        <v>16</v>
      </c>
      <c r="E11" s="11">
        <v>12</v>
      </c>
      <c r="F11" s="13">
        <v>13</v>
      </c>
      <c r="G11" s="33">
        <f t="shared" si="0"/>
        <v>49</v>
      </c>
      <c r="H11" s="17"/>
      <c r="I11" s="17">
        <f t="shared" si="1"/>
        <v>0</v>
      </c>
      <c r="J11" s="18" t="str">
        <f t="shared" ref="J11" si="2">IF(I11&gt;80,5,IF(AND(60&lt;I11,I11&lt;81),4,IF(AND(40&lt;I11,I11&lt;61),3,IF(AND(I11&lt;41,I11&gt;0),2,IF(I11=0,"Неявка")))))</f>
        <v>Неявка</v>
      </c>
    </row>
    <row r="12" spans="1:10" ht="19.5" thickBot="1" x14ac:dyDescent="0.3">
      <c r="A12" s="31">
        <v>2</v>
      </c>
      <c r="B12" s="38" t="s">
        <v>34</v>
      </c>
      <c r="C12" s="34">
        <v>12</v>
      </c>
      <c r="D12" s="25">
        <v>18</v>
      </c>
      <c r="E12" s="25">
        <v>20</v>
      </c>
      <c r="F12" s="26">
        <v>14</v>
      </c>
      <c r="G12" s="27">
        <f t="shared" ref="G12:G33" si="3">IF(C12+D12&lt;20,0,IF(E12+F12&lt;20,0,(ROUNDUP(SUM(C12:F12),0))))</f>
        <v>64</v>
      </c>
      <c r="H12" s="28"/>
      <c r="I12" s="28">
        <f t="shared" ref="I12:I33" si="4">IF(H12=0,0,IF(G12&gt;H12,G12,H12))</f>
        <v>0</v>
      </c>
      <c r="J12" s="29" t="str">
        <f t="shared" ref="J12:J33" si="5">IF(I12&gt;80,5,IF(AND(60&lt;I12,I12&lt;81),4,IF(AND(40&lt;I12,I12&lt;61),3,IF(AND(I12&lt;41,I12&gt;0),2,IF(I12=0,"Неявка")))))</f>
        <v>Неявка</v>
      </c>
    </row>
    <row r="13" spans="1:10" ht="19.5" thickBot="1" x14ac:dyDescent="0.3">
      <c r="A13" s="31">
        <v>3</v>
      </c>
      <c r="B13" s="38" t="s">
        <v>35</v>
      </c>
      <c r="C13" s="35">
        <v>6</v>
      </c>
      <c r="D13" s="4">
        <v>18</v>
      </c>
      <c r="E13" s="4"/>
      <c r="F13" s="14"/>
      <c r="G13" s="16">
        <f t="shared" si="3"/>
        <v>0</v>
      </c>
      <c r="H13" s="21"/>
      <c r="I13" s="21">
        <f t="shared" si="4"/>
        <v>0</v>
      </c>
      <c r="J13" s="20" t="str">
        <f t="shared" si="5"/>
        <v>Неявка</v>
      </c>
    </row>
    <row r="14" spans="1:10" ht="19.5" thickBot="1" x14ac:dyDescent="0.3">
      <c r="A14" s="31">
        <v>4</v>
      </c>
      <c r="B14" s="38" t="s">
        <v>36</v>
      </c>
      <c r="C14" s="35">
        <v>12</v>
      </c>
      <c r="D14" s="4">
        <v>25</v>
      </c>
      <c r="E14" s="4">
        <v>16</v>
      </c>
      <c r="F14" s="14">
        <v>29</v>
      </c>
      <c r="G14" s="16">
        <f t="shared" si="3"/>
        <v>82</v>
      </c>
      <c r="H14" s="21"/>
      <c r="I14" s="21">
        <f t="shared" si="4"/>
        <v>0</v>
      </c>
      <c r="J14" s="20" t="str">
        <f t="shared" si="5"/>
        <v>Неявка</v>
      </c>
    </row>
    <row r="15" spans="1:10" ht="19.5" thickBot="1" x14ac:dyDescent="0.3">
      <c r="A15" s="31">
        <v>5</v>
      </c>
      <c r="B15" s="38" t="s">
        <v>37</v>
      </c>
      <c r="C15" s="35">
        <v>8</v>
      </c>
      <c r="D15" s="4">
        <v>12</v>
      </c>
      <c r="E15" s="4">
        <v>17</v>
      </c>
      <c r="F15" s="14">
        <v>5</v>
      </c>
      <c r="G15" s="16">
        <f t="shared" si="3"/>
        <v>42</v>
      </c>
      <c r="H15" s="21"/>
      <c r="I15" s="21">
        <f t="shared" si="4"/>
        <v>0</v>
      </c>
      <c r="J15" s="20" t="str">
        <f t="shared" si="5"/>
        <v>Неявка</v>
      </c>
    </row>
    <row r="16" spans="1:10" ht="19.5" thickBot="1" x14ac:dyDescent="0.3">
      <c r="A16" s="31">
        <v>6</v>
      </c>
      <c r="B16" s="38" t="s">
        <v>38</v>
      </c>
      <c r="C16" s="35">
        <v>6</v>
      </c>
      <c r="D16" s="4">
        <v>14</v>
      </c>
      <c r="E16" s="4">
        <v>11</v>
      </c>
      <c r="F16" s="14">
        <v>12</v>
      </c>
      <c r="G16" s="16">
        <f t="shared" si="3"/>
        <v>43</v>
      </c>
      <c r="H16" s="21"/>
      <c r="I16" s="21">
        <f t="shared" si="4"/>
        <v>0</v>
      </c>
      <c r="J16" s="20" t="str">
        <f t="shared" si="5"/>
        <v>Неявка</v>
      </c>
    </row>
    <row r="17" spans="1:10" ht="19.5" thickBot="1" x14ac:dyDescent="0.3">
      <c r="A17" s="31">
        <v>7</v>
      </c>
      <c r="B17" s="38" t="s">
        <v>39</v>
      </c>
      <c r="C17" s="35">
        <v>12</v>
      </c>
      <c r="D17" s="4">
        <v>16</v>
      </c>
      <c r="E17" s="4">
        <v>15</v>
      </c>
      <c r="F17" s="14">
        <v>18</v>
      </c>
      <c r="G17" s="16">
        <f t="shared" si="3"/>
        <v>61</v>
      </c>
      <c r="H17" s="21"/>
      <c r="I17" s="21">
        <f t="shared" si="4"/>
        <v>0</v>
      </c>
      <c r="J17" s="20" t="str">
        <f t="shared" si="5"/>
        <v>Неявка</v>
      </c>
    </row>
    <row r="18" spans="1:10" ht="19.5" thickBot="1" x14ac:dyDescent="0.3">
      <c r="A18" s="31">
        <v>8</v>
      </c>
      <c r="B18" s="38" t="s">
        <v>40</v>
      </c>
      <c r="C18" s="35">
        <v>13</v>
      </c>
      <c r="D18" s="4">
        <v>12</v>
      </c>
      <c r="E18" s="4">
        <v>14</v>
      </c>
      <c r="F18" s="14">
        <v>17</v>
      </c>
      <c r="G18" s="16">
        <f t="shared" si="3"/>
        <v>56</v>
      </c>
      <c r="H18" s="21"/>
      <c r="I18" s="21">
        <f t="shared" si="4"/>
        <v>0</v>
      </c>
      <c r="J18" s="20" t="str">
        <f t="shared" si="5"/>
        <v>Неявка</v>
      </c>
    </row>
    <row r="19" spans="1:10" ht="19.5" thickBot="1" x14ac:dyDescent="0.3">
      <c r="A19" s="31">
        <v>9</v>
      </c>
      <c r="B19" s="38" t="s">
        <v>41</v>
      </c>
      <c r="C19" s="35">
        <v>16</v>
      </c>
      <c r="D19" s="4">
        <v>18</v>
      </c>
      <c r="E19" s="4">
        <v>20</v>
      </c>
      <c r="F19" s="14">
        <v>22</v>
      </c>
      <c r="G19" s="16">
        <f t="shared" si="3"/>
        <v>76</v>
      </c>
      <c r="H19" s="21"/>
      <c r="I19" s="21">
        <f t="shared" si="4"/>
        <v>0</v>
      </c>
      <c r="J19" s="20" t="str">
        <f t="shared" si="5"/>
        <v>Неявка</v>
      </c>
    </row>
    <row r="20" spans="1:10" ht="19.5" thickBot="1" x14ac:dyDescent="0.3">
      <c r="A20" s="31">
        <v>10</v>
      </c>
      <c r="B20" s="38" t="s">
        <v>42</v>
      </c>
      <c r="C20" s="35">
        <v>15</v>
      </c>
      <c r="D20" s="4">
        <v>23</v>
      </c>
      <c r="E20" s="4">
        <v>20</v>
      </c>
      <c r="F20" s="14">
        <v>23</v>
      </c>
      <c r="G20" s="16">
        <f t="shared" si="3"/>
        <v>81</v>
      </c>
      <c r="H20" s="21"/>
      <c r="I20" s="21">
        <f t="shared" si="4"/>
        <v>0</v>
      </c>
      <c r="J20" s="20" t="str">
        <f t="shared" si="5"/>
        <v>Неявка</v>
      </c>
    </row>
    <row r="21" spans="1:10" ht="19.5" thickBot="1" x14ac:dyDescent="0.3">
      <c r="A21" s="31">
        <v>11</v>
      </c>
      <c r="B21" s="38" t="s">
        <v>43</v>
      </c>
      <c r="C21" s="35">
        <v>0</v>
      </c>
      <c r="D21" s="4">
        <v>0</v>
      </c>
      <c r="E21" s="4">
        <v>0</v>
      </c>
      <c r="F21" s="14">
        <v>1</v>
      </c>
      <c r="G21" s="16">
        <f t="shared" si="3"/>
        <v>0</v>
      </c>
      <c r="H21" s="21"/>
      <c r="I21" s="21">
        <f t="shared" si="4"/>
        <v>0</v>
      </c>
      <c r="J21" s="20" t="str">
        <f t="shared" si="5"/>
        <v>Неявка</v>
      </c>
    </row>
    <row r="22" spans="1:10" ht="19.5" thickBot="1" x14ac:dyDescent="0.3">
      <c r="A22" s="31">
        <v>12</v>
      </c>
      <c r="B22" s="38" t="s">
        <v>44</v>
      </c>
      <c r="C22" s="35">
        <v>0</v>
      </c>
      <c r="D22" s="4">
        <v>5</v>
      </c>
      <c r="E22" s="4">
        <v>1</v>
      </c>
      <c r="F22" s="14">
        <v>0</v>
      </c>
      <c r="G22" s="16">
        <f t="shared" si="3"/>
        <v>0</v>
      </c>
      <c r="H22" s="21"/>
      <c r="I22" s="21">
        <f t="shared" si="4"/>
        <v>0</v>
      </c>
      <c r="J22" s="20" t="str">
        <f t="shared" si="5"/>
        <v>Неявка</v>
      </c>
    </row>
    <row r="23" spans="1:10" ht="19.5" thickBot="1" x14ac:dyDescent="0.3">
      <c r="A23" s="31">
        <v>13</v>
      </c>
      <c r="B23" s="39" t="s">
        <v>45</v>
      </c>
      <c r="C23" s="35">
        <v>0</v>
      </c>
      <c r="D23" s="4">
        <v>0</v>
      </c>
      <c r="E23" s="4">
        <v>0</v>
      </c>
      <c r="F23" s="14">
        <v>9</v>
      </c>
      <c r="G23" s="16">
        <f t="shared" si="3"/>
        <v>0</v>
      </c>
      <c r="H23" s="21"/>
      <c r="I23" s="21">
        <f t="shared" si="4"/>
        <v>0</v>
      </c>
      <c r="J23" s="20" t="str">
        <f t="shared" si="5"/>
        <v>Неявка</v>
      </c>
    </row>
    <row r="24" spans="1:10" ht="19.5" thickBot="1" x14ac:dyDescent="0.3">
      <c r="A24" s="31">
        <v>14</v>
      </c>
      <c r="B24" s="38" t="s">
        <v>46</v>
      </c>
      <c r="C24" s="35">
        <v>12</v>
      </c>
      <c r="D24" s="4">
        <v>20</v>
      </c>
      <c r="E24" s="4">
        <v>20</v>
      </c>
      <c r="F24" s="14">
        <v>15</v>
      </c>
      <c r="G24" s="16">
        <f t="shared" si="3"/>
        <v>67</v>
      </c>
      <c r="H24" s="21"/>
      <c r="I24" s="21">
        <f t="shared" si="4"/>
        <v>0</v>
      </c>
      <c r="J24" s="20" t="str">
        <f t="shared" si="5"/>
        <v>Неявка</v>
      </c>
    </row>
    <row r="25" spans="1:10" ht="19.5" thickBot="1" x14ac:dyDescent="0.3">
      <c r="A25" s="31">
        <v>15</v>
      </c>
      <c r="B25" s="38" t="s">
        <v>47</v>
      </c>
      <c r="C25" s="35">
        <v>0</v>
      </c>
      <c r="D25" s="4">
        <v>0</v>
      </c>
      <c r="E25" s="4">
        <v>0</v>
      </c>
      <c r="F25" s="14">
        <v>0</v>
      </c>
      <c r="G25" s="16">
        <f t="shared" si="3"/>
        <v>0</v>
      </c>
      <c r="H25" s="21"/>
      <c r="I25" s="21">
        <f t="shared" si="4"/>
        <v>0</v>
      </c>
      <c r="J25" s="20" t="str">
        <f t="shared" si="5"/>
        <v>Неявка</v>
      </c>
    </row>
    <row r="26" spans="1:10" ht="19.5" thickBot="1" x14ac:dyDescent="0.3">
      <c r="A26" s="31">
        <v>16</v>
      </c>
      <c r="B26" s="38" t="s">
        <v>48</v>
      </c>
      <c r="C26" s="35">
        <v>9</v>
      </c>
      <c r="D26" s="4">
        <v>22</v>
      </c>
      <c r="E26" s="4">
        <v>7</v>
      </c>
      <c r="F26" s="14">
        <v>13</v>
      </c>
      <c r="G26" s="16">
        <f t="shared" si="3"/>
        <v>51</v>
      </c>
      <c r="H26" s="21"/>
      <c r="I26" s="21">
        <f t="shared" si="4"/>
        <v>0</v>
      </c>
      <c r="J26" s="20" t="str">
        <f t="shared" si="5"/>
        <v>Неявка</v>
      </c>
    </row>
    <row r="27" spans="1:10" ht="19.5" thickBot="1" x14ac:dyDescent="0.3">
      <c r="A27" s="31">
        <v>17</v>
      </c>
      <c r="B27" s="38" t="s">
        <v>49</v>
      </c>
      <c r="C27" s="35">
        <v>0</v>
      </c>
      <c r="D27" s="4">
        <v>0</v>
      </c>
      <c r="E27" s="4">
        <v>0</v>
      </c>
      <c r="F27" s="14">
        <v>0</v>
      </c>
      <c r="G27" s="16">
        <f t="shared" si="3"/>
        <v>0</v>
      </c>
      <c r="H27" s="21"/>
      <c r="I27" s="21">
        <f t="shared" si="4"/>
        <v>0</v>
      </c>
      <c r="J27" s="20" t="str">
        <f t="shared" si="5"/>
        <v>Неявка</v>
      </c>
    </row>
    <row r="28" spans="1:10" ht="19.5" thickBot="1" x14ac:dyDescent="0.3">
      <c r="A28" s="31">
        <v>18</v>
      </c>
      <c r="B28" s="38" t="s">
        <v>50</v>
      </c>
      <c r="C28" s="35">
        <v>0</v>
      </c>
      <c r="D28" s="4">
        <v>0</v>
      </c>
      <c r="E28" s="4">
        <v>0</v>
      </c>
      <c r="F28" s="14">
        <v>0</v>
      </c>
      <c r="G28" s="16">
        <f t="shared" si="3"/>
        <v>0</v>
      </c>
      <c r="H28" s="21"/>
      <c r="I28" s="21">
        <f t="shared" si="4"/>
        <v>0</v>
      </c>
      <c r="J28" s="20" t="str">
        <f t="shared" si="5"/>
        <v>Неявка</v>
      </c>
    </row>
    <row r="29" spans="1:10" ht="19.5" thickBot="1" x14ac:dyDescent="0.3">
      <c r="A29" s="31">
        <v>19</v>
      </c>
      <c r="B29" s="38" t="s">
        <v>51</v>
      </c>
      <c r="C29" s="35">
        <v>0</v>
      </c>
      <c r="D29" s="4">
        <v>0</v>
      </c>
      <c r="E29" s="4">
        <v>0</v>
      </c>
      <c r="F29" s="14">
        <v>0</v>
      </c>
      <c r="G29" s="16">
        <f t="shared" si="3"/>
        <v>0</v>
      </c>
      <c r="H29" s="21"/>
      <c r="I29" s="21">
        <f t="shared" si="4"/>
        <v>0</v>
      </c>
      <c r="J29" s="20" t="str">
        <f t="shared" si="5"/>
        <v>Неявка</v>
      </c>
    </row>
    <row r="30" spans="1:10" ht="19.5" thickBot="1" x14ac:dyDescent="0.3">
      <c r="A30" s="31">
        <v>20</v>
      </c>
      <c r="B30" s="38" t="s">
        <v>52</v>
      </c>
      <c r="C30" s="35">
        <v>0</v>
      </c>
      <c r="D30" s="4">
        <v>0</v>
      </c>
      <c r="E30" s="4">
        <v>0</v>
      </c>
      <c r="F30" s="14">
        <v>0</v>
      </c>
      <c r="G30" s="16">
        <f t="shared" si="3"/>
        <v>0</v>
      </c>
      <c r="H30" s="21"/>
      <c r="I30" s="21">
        <f t="shared" si="4"/>
        <v>0</v>
      </c>
      <c r="J30" s="20" t="str">
        <f t="shared" si="5"/>
        <v>Неявка</v>
      </c>
    </row>
    <row r="31" spans="1:10" ht="19.5" thickBot="1" x14ac:dyDescent="0.3">
      <c r="A31" s="31">
        <v>21</v>
      </c>
      <c r="B31" s="38" t="s">
        <v>53</v>
      </c>
      <c r="C31" s="35">
        <v>0</v>
      </c>
      <c r="D31" s="4">
        <v>0</v>
      </c>
      <c r="E31" s="4">
        <v>0</v>
      </c>
      <c r="F31" s="14">
        <v>0</v>
      </c>
      <c r="G31" s="16">
        <f t="shared" si="3"/>
        <v>0</v>
      </c>
      <c r="H31" s="21"/>
      <c r="I31" s="21">
        <f t="shared" si="4"/>
        <v>0</v>
      </c>
      <c r="J31" s="20" t="str">
        <f t="shared" si="5"/>
        <v>Неявка</v>
      </c>
    </row>
    <row r="32" spans="1:10" ht="19.5" thickBot="1" x14ac:dyDescent="0.3">
      <c r="A32" s="31">
        <v>22</v>
      </c>
      <c r="B32" s="38" t="s">
        <v>54</v>
      </c>
      <c r="C32" s="35">
        <v>10</v>
      </c>
      <c r="D32" s="4">
        <v>19</v>
      </c>
      <c r="E32" s="4">
        <v>16</v>
      </c>
      <c r="F32" s="14">
        <v>16</v>
      </c>
      <c r="G32" s="16">
        <f t="shared" si="3"/>
        <v>61</v>
      </c>
      <c r="H32" s="21"/>
      <c r="I32" s="21">
        <f t="shared" si="4"/>
        <v>0</v>
      </c>
      <c r="J32" s="20" t="str">
        <f t="shared" si="5"/>
        <v>Неявка</v>
      </c>
    </row>
    <row r="33" spans="1:10" ht="19.5" thickBot="1" x14ac:dyDescent="0.3">
      <c r="A33" s="31">
        <v>23</v>
      </c>
      <c r="B33" s="38" t="s">
        <v>55</v>
      </c>
      <c r="C33" s="35">
        <v>13</v>
      </c>
      <c r="D33" s="4">
        <v>19</v>
      </c>
      <c r="E33" s="4">
        <v>17</v>
      </c>
      <c r="F33" s="14">
        <v>32</v>
      </c>
      <c r="G33" s="16">
        <f t="shared" si="3"/>
        <v>81</v>
      </c>
      <c r="H33" s="21"/>
      <c r="I33" s="21">
        <f t="shared" si="4"/>
        <v>0</v>
      </c>
      <c r="J33" s="20" t="str">
        <f t="shared" si="5"/>
        <v>Неявка</v>
      </c>
    </row>
    <row r="35" spans="1:10" x14ac:dyDescent="0.25">
      <c r="B35" s="1" t="s">
        <v>7</v>
      </c>
    </row>
    <row r="36" spans="1:10" x14ac:dyDescent="0.25">
      <c r="B36" t="s">
        <v>12</v>
      </c>
    </row>
    <row r="37" spans="1:10" x14ac:dyDescent="0.25">
      <c r="B37" t="s">
        <v>13</v>
      </c>
    </row>
    <row r="38" spans="1:10" x14ac:dyDescent="0.25">
      <c r="B38" t="s">
        <v>8</v>
      </c>
    </row>
    <row r="39" spans="1:10" x14ac:dyDescent="0.25">
      <c r="B39" t="s">
        <v>9</v>
      </c>
    </row>
    <row r="40" spans="1:10" x14ac:dyDescent="0.25">
      <c r="B40" t="s">
        <v>14</v>
      </c>
    </row>
    <row r="41" spans="1:10" x14ac:dyDescent="0.25">
      <c r="B41" t="s">
        <v>15</v>
      </c>
    </row>
    <row r="42" spans="1:10" x14ac:dyDescent="0.25">
      <c r="B42" t="s">
        <v>16</v>
      </c>
    </row>
    <row r="43" spans="1:10" x14ac:dyDescent="0.25">
      <c r="B43" t="s">
        <v>17</v>
      </c>
    </row>
    <row r="44" spans="1:10" x14ac:dyDescent="0.25">
      <c r="B44" t="s">
        <v>18</v>
      </c>
    </row>
    <row r="45" spans="1:10" x14ac:dyDescent="0.25">
      <c r="B45" t="s">
        <v>19</v>
      </c>
    </row>
    <row r="46" spans="1:10" x14ac:dyDescent="0.25">
      <c r="B46" s="1" t="s">
        <v>20</v>
      </c>
      <c r="C46" s="1"/>
      <c r="D46" s="1"/>
      <c r="E46" s="1"/>
      <c r="F46" s="1"/>
    </row>
    <row r="47" spans="1:10" x14ac:dyDescent="0.25">
      <c r="B47" s="1"/>
    </row>
    <row r="54" spans="2:2" x14ac:dyDescent="0.25">
      <c r="B54" s="2"/>
    </row>
    <row r="55" spans="2:2" ht="14.25" customHeight="1" x14ac:dyDescent="0.25">
      <c r="B55" s="2"/>
    </row>
    <row r="56" spans="2:2" ht="15.75" customHeight="1" x14ac:dyDescent="0.25"/>
    <row r="57" spans="2:2" x14ac:dyDescent="0.25">
      <c r="B57" s="2"/>
    </row>
  </sheetData>
  <mergeCells count="7">
    <mergeCell ref="C7:D7"/>
    <mergeCell ref="E7:F7"/>
    <mergeCell ref="C1:G1"/>
    <mergeCell ref="A10:B10"/>
    <mergeCell ref="A9:B9"/>
    <mergeCell ref="A8:B8"/>
    <mergeCell ref="A2:J2"/>
  </mergeCells>
  <conditionalFormatting sqref="G10:I33">
    <cfRule type="cellIs" dxfId="7" priority="29" operator="between">
      <formula>41</formula>
      <formula>60</formula>
    </cfRule>
    <cfRule type="cellIs" dxfId="6" priority="30" operator="between">
      <formula>61</formula>
      <formula>80</formula>
    </cfRule>
    <cfRule type="cellIs" dxfId="5" priority="31" operator="lessThan">
      <formula>41</formula>
    </cfRule>
    <cfRule type="cellIs" dxfId="4" priority="32" operator="between">
      <formula>81</formula>
      <formula>100</formula>
    </cfRule>
  </conditionalFormatting>
  <conditionalFormatting sqref="J10:J33">
    <cfRule type="cellIs" dxfId="3" priority="17" operator="equal">
      <formula>2</formula>
    </cfRule>
    <cfRule type="cellIs" dxfId="2" priority="18" operator="equal">
      <formula>3</formula>
    </cfRule>
    <cfRule type="cellIs" dxfId="1" priority="19" operator="equal">
      <formula>4</formula>
    </cfRule>
    <cfRule type="cellIs" dxfId="0" priority="20" operator="equal">
      <formula>5</formula>
    </cfRule>
  </conditionalFormatting>
  <pageMargins left="0.25" right="0.25" top="0.75" bottom="0.75" header="0.3" footer="0.3"/>
  <pageSetup paperSize="9" scale="86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ВМ(1)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Костецкая Галина Сергеевна</cp:lastModifiedBy>
  <cp:lastPrinted>2018-09-07T09:09:18Z</cp:lastPrinted>
  <dcterms:created xsi:type="dcterms:W3CDTF">2018-09-07T06:17:46Z</dcterms:created>
  <dcterms:modified xsi:type="dcterms:W3CDTF">2025-12-26T18:26:42Z</dcterms:modified>
</cp:coreProperties>
</file>